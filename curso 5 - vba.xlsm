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aMoreira\Documents\5_ALURA\Formacao_excel_VBA\"/>
    </mc:Choice>
  </mc:AlternateContent>
  <xr:revisionPtr revIDLastSave="0" documentId="13_ncr:1_{ACE5FFC2-4D2F-4254-B027-C4CFBFA75F3B}" xr6:coauthVersionLast="45" xr6:coauthVersionMax="45" xr10:uidLastSave="{00000000-0000-0000-0000-000000000000}"/>
  <bookViews>
    <workbookView xWindow="2505" yWindow="2505" windowWidth="15375" windowHeight="7995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4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0" i="15" l="1"/>
  <c r="A2" i="16" l="1"/>
  <c r="BB16" i="15"/>
  <c r="BB10" i="15"/>
  <c r="AJ16" i="15"/>
  <c r="AJ10" i="15"/>
  <c r="AS4" i="15"/>
  <c r="AA4" i="15"/>
  <c r="AS10" i="15"/>
  <c r="BB4" i="15"/>
  <c r="AJ4" i="15"/>
  <c r="AA16" i="15"/>
  <c r="AS16" i="15" l="1"/>
  <c r="R16" i="15"/>
  <c r="R10" i="15"/>
  <c r="I10" i="15"/>
  <c r="R4" i="15"/>
  <c r="I4" i="15"/>
  <c r="I16" i="15" l="1"/>
  <c r="B2" i="15" s="1"/>
</calcChain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<sst xmlns="http://schemas.openxmlformats.org/spreadsheetml/2006/main" count="569" uniqueCount="58">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</sst>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5 - vba.xlsm]Tabelas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5 - vba.xlsm]Tabelas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5 - vba.xlsm]Tabelas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5 - vba.xlsm]Tabelas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5 - vba.xlsm]Valor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5 - vba.xlsm]Valor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123825</xdr:rowOff>
        </xdr:from>
        <xdr:to>
          <xdr:col>23</xdr:col>
          <xdr:colOff>514350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a Moreira" refreshedDate="44133.790591550925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4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topLeftCell="S1" zoomScale="90" zoomScaleNormal="90" workbookViewId="0">
      <selection activeCell="V23" sqref="V23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48" customHeight="1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54" t="s">
        <v>46</v>
      </c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/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3043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25657.207243807243</v>
      </c>
      <c r="S4" s="46"/>
      <c r="T4" s="35"/>
      <c r="U4" s="36"/>
      <c r="V4" s="36"/>
      <c r="W4" s="36"/>
      <c r="X4" s="36"/>
      <c r="Y4" s="36"/>
      <c r="Z4" s="37"/>
      <c r="AA4" s="41">
        <f>GETPIVOTDATA("Soma de Peso (Kg)",'Tabelas Dinamicas'!$D$10)</f>
        <v>3043</v>
      </c>
      <c r="AB4" s="35"/>
      <c r="AC4" s="36"/>
      <c r="AD4" s="36"/>
      <c r="AE4" s="36"/>
      <c r="AF4" s="36"/>
      <c r="AG4" s="36"/>
      <c r="AH4" s="36"/>
      <c r="AI4" s="37"/>
      <c r="AJ4" s="43">
        <f>GETPIVOTDATA("Valor do Contrato",'Tabelas Dinamicas'!$A$10)</f>
        <v>25657.207243807243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3043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25657.207243807243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30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COUNTA('Base Filtrada'!H6:H35)</f>
        <v>30</v>
      </c>
      <c r="AB10" s="35"/>
      <c r="AC10" s="36"/>
      <c r="AD10" s="36"/>
      <c r="AE10" s="36"/>
      <c r="AF10" s="36"/>
      <c r="AG10" s="36"/>
      <c r="AH10" s="36"/>
      <c r="AI10" s="37"/>
      <c r="AJ10" s="41">
        <f>COUNTIF(SituacaoPartidas,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30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101.43333333333334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>
        <f>fn_CalculaMediaPeso(AA4,AA10)</f>
        <v>101.43333333333334</v>
      </c>
      <c r="AB16" s="35"/>
      <c r="AC16" s="36"/>
      <c r="AD16" s="36"/>
      <c r="AE16" s="36"/>
      <c r="AF16" s="36"/>
      <c r="AG16" s="36"/>
      <c r="AH16" s="36"/>
      <c r="AI16" s="37"/>
      <c r="AJ16" s="41">
        <f>COUNTIF(SituacaoChegadas,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101.43333333333334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21</xdr:col>
                    <xdr:colOff>114300</xdr:colOff>
                    <xdr:row>0</xdr:row>
                    <xdr:rowOff>123825</xdr:rowOff>
                  </from>
                  <to>
                    <xdr:col>23</xdr:col>
                    <xdr:colOff>514350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topLeftCell="E1"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Gabriela Moreira</cp:lastModifiedBy>
  <dcterms:created xsi:type="dcterms:W3CDTF">2020-01-28T18:38:11Z</dcterms:created>
  <dcterms:modified xsi:type="dcterms:W3CDTF">2020-10-30T01:01:13Z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